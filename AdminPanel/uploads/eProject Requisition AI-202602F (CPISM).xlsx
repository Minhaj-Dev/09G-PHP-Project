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Int\Music\"/>
    </mc:Choice>
  </mc:AlternateContent>
  <xr:revisionPtr revIDLastSave="0" documentId="13_ncr:1_{21FE0C38-5419-45B2-9E77-7C547AD30E4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MP-Must Read" sheetId="1" r:id="rId1"/>
    <sheet name="Student Registration Details" sheetId="2" r:id="rId2"/>
    <sheet name="Centre Details" sheetId="3" r:id="rId3"/>
  </sheets>
  <definedNames>
    <definedName name="Batchcod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2" l="1"/>
  <c r="C12" i="2"/>
  <c r="C11" i="2"/>
  <c r="C10" i="2"/>
  <c r="C6" i="2"/>
  <c r="C5" i="2"/>
</calcChain>
</file>

<file path=xl/sharedStrings.xml><?xml version="1.0" encoding="utf-8"?>
<sst xmlns="http://schemas.openxmlformats.org/spreadsheetml/2006/main" count="166" uniqueCount="92">
  <si>
    <t>Welcome to eProjects Registration Process</t>
  </si>
  <si>
    <t>Some Important Points To Remember - Guidelines</t>
  </si>
  <si>
    <t>R E A D   &amp;   F O L L O W   T H E   P O I N T S   C A R E F U L L Y</t>
  </si>
  <si>
    <t>eProjects is required to be done by each student as mapped in the relevant Presenters Manuals of the course in selected Semesters/Modules.</t>
  </si>
  <si>
    <r>
      <rPr>
        <sz val="10"/>
        <color theme="1"/>
        <rFont val="Arial"/>
        <family val="2"/>
      </rPr>
      <t xml:space="preserve">eProjects is </t>
    </r>
    <r>
      <rPr>
        <b/>
        <sz val="10"/>
        <color theme="1"/>
        <rFont val="Arial"/>
        <family val="2"/>
      </rPr>
      <t>mandatory for each student</t>
    </r>
    <r>
      <rPr>
        <sz val="10"/>
        <color theme="1"/>
        <rFont val="Arial"/>
        <family val="2"/>
      </rPr>
      <t xml:space="preserve"> to undergo as per the Presenters Manuals in order to confirm Student completion of a Semester / Module as specified in the Presenters Manual to be eligible for Performance Statement [PS] or Certificate [Cert].</t>
    </r>
  </si>
  <si>
    <t>eProject Student Guide/eProject Guide is mandatory to be provided to the students individually. Course/Semester where eproject guide is available will be mentioned in the Price List.</t>
  </si>
  <si>
    <r>
      <rPr>
        <sz val="10"/>
        <color theme="1"/>
        <rFont val="Arial"/>
        <family val="2"/>
      </rPr>
      <t xml:space="preserve">Centre must ensure eProjects Registrations are emailed only to </t>
    </r>
    <r>
      <rPr>
        <b/>
        <sz val="10"/>
        <color theme="1"/>
        <rFont val="Arial"/>
        <family val="2"/>
      </rPr>
      <t>eProjects@aptech.ac.in</t>
    </r>
    <r>
      <rPr>
        <sz val="10"/>
        <color theme="1"/>
        <rFont val="Arial"/>
        <family val="2"/>
      </rPr>
      <t>.</t>
    </r>
    <r>
      <rPr>
        <b/>
        <sz val="10"/>
        <color theme="1"/>
        <rFont val="Arial"/>
        <family val="2"/>
      </rPr>
      <t xml:space="preserve"> Registration emails sent to TAH/RAH will be rejected from 16-Aug-2007.</t>
    </r>
  </si>
  <si>
    <t>Centre must ensure all eProject Registrations should be sent to eprojects@aptech.ac.in at least 3 weeks before the start date (start date should be as per the batch schedule in eCAS) of the eproject.</t>
  </si>
  <si>
    <t>Ensure you map the correct week and date for conducting eProjects and completing on time as specified in the eProjects Supplements.</t>
  </si>
  <si>
    <t>Ensure all data as per requirement is mentioned in each of the columns in the Sheets as provided to prevent file from being rejected.</t>
  </si>
  <si>
    <t>**</t>
  </si>
  <si>
    <r>
      <rPr>
        <b/>
        <sz val="12"/>
        <color theme="1"/>
        <rFont val="Arial"/>
        <family val="2"/>
      </rPr>
      <t xml:space="preserve">I n    c a s e     o f    a n y    c l a r i f i c a t i o n s    p l e a s e     m a i l     t o     </t>
    </r>
    <r>
      <rPr>
        <b/>
        <u/>
        <sz val="12"/>
        <color theme="1"/>
        <rFont val="Arial"/>
        <family val="2"/>
      </rPr>
      <t>eProjects@aptech.ac.in</t>
    </r>
  </si>
  <si>
    <t>eprojects@aptechfze.ae</t>
  </si>
  <si>
    <t>Goto Sheet</t>
  </si>
  <si>
    <t>Centre Details</t>
  </si>
  <si>
    <t>* Details in all Columns is compulsory.</t>
  </si>
  <si>
    <r>
      <rPr>
        <b/>
        <sz val="10"/>
        <color theme="1"/>
        <rFont val="Arial"/>
        <family val="2"/>
      </rPr>
      <t>#</t>
    </r>
    <r>
      <rPr>
        <b/>
        <sz val="10"/>
        <color theme="1"/>
        <rFont val="Arial"/>
        <family val="2"/>
      </rPr>
      <t xml:space="preserve"> Mention the specialization if Student is undergoing/covered the specialization stream</t>
    </r>
  </si>
  <si>
    <t>* Students should be from Career Courses</t>
  </si>
  <si>
    <t>Sr. No.</t>
  </si>
  <si>
    <t>Team/Group Number</t>
  </si>
  <si>
    <t>Project Sem</t>
  </si>
  <si>
    <t>Batch Code</t>
  </si>
  <si>
    <t>Code on eProject Guide</t>
  </si>
  <si>
    <t>Student Enrollment Number 
(As per Portal)</t>
  </si>
  <si>
    <t>Student Name
(As per Portal)</t>
  </si>
  <si>
    <t>Student's eMail-ID</t>
  </si>
  <si>
    <t>Alternate eMail-ID (Student/Centre)</t>
  </si>
  <si>
    <t>Course Family
(As per PORTAL)</t>
  </si>
  <si>
    <t>Course Name
(As per PORTAL)</t>
  </si>
  <si>
    <t>Semester Number (Semester for eProject)
(As per PORTAL)</t>
  </si>
  <si>
    <r>
      <rPr>
        <b/>
        <sz val="10"/>
        <color theme="1"/>
        <rFont val="Arial"/>
        <family val="2"/>
      </rPr>
      <t>#</t>
    </r>
    <r>
      <rPr>
        <b/>
        <sz val="10"/>
        <color theme="1"/>
        <rFont val="Arial"/>
        <family val="2"/>
      </rPr>
      <t xml:space="preserve"> Specialization             (.net / Java / Web Designing / Multimedia Authoring...)</t>
    </r>
  </si>
  <si>
    <t>~ Remarks</t>
  </si>
  <si>
    <t>Null</t>
  </si>
  <si>
    <t>OV-7144-ACCPINAI-ACE</t>
  </si>
  <si>
    <t>None</t>
  </si>
  <si>
    <t>OV-7144-ADSE</t>
  </si>
  <si>
    <t>eProject Registration Details</t>
  </si>
  <si>
    <t>Product / Brand</t>
  </si>
  <si>
    <t>APTECH COMPUTER EDUCATION</t>
  </si>
  <si>
    <t>Centre Numeric Code (CNC)</t>
  </si>
  <si>
    <t>NULL</t>
  </si>
  <si>
    <t>Region</t>
  </si>
  <si>
    <t>EAST</t>
  </si>
  <si>
    <t>Centre Name (As per PORTAL)</t>
  </si>
  <si>
    <t>ACE-KARACHI-10-METRO-STAR-GATE</t>
  </si>
  <si>
    <t>Country</t>
  </si>
  <si>
    <t>PAKISTAN</t>
  </si>
  <si>
    <t>eProject Start Date</t>
  </si>
  <si>
    <t>(as per batch schedule)</t>
  </si>
  <si>
    <t>eProject End Date</t>
  </si>
  <si>
    <t>`</t>
  </si>
  <si>
    <t>Acentres Email-ID of Centre</t>
  </si>
  <si>
    <t>Any other Email-ID of Centre</t>
  </si>
  <si>
    <t>cah-msg@aptech-eduacation.com.pk</t>
  </si>
  <si>
    <t>Student Registration Details</t>
  </si>
  <si>
    <t>projects.msg.aptech.education@gmail.com</t>
  </si>
  <si>
    <t>AI-202602F</t>
  </si>
  <si>
    <t>Student1723733</t>
  </si>
  <si>
    <t>Student1723739</t>
  </si>
  <si>
    <t>Student1726137</t>
  </si>
  <si>
    <t>Student1726386</t>
  </si>
  <si>
    <t>Ms. BISMA KHAN</t>
  </si>
  <si>
    <t>Ms. ALAIHA ASHFAQ</t>
  </si>
  <si>
    <t>Ms. MARYAM WASEEM</t>
  </si>
  <si>
    <t>Ms. FAIZA FEROZE</t>
  </si>
  <si>
    <t>Student1726857</t>
  </si>
  <si>
    <t>Student1726863</t>
  </si>
  <si>
    <t>Student1726367</t>
  </si>
  <si>
    <t>Student1717315</t>
  </si>
  <si>
    <t>Mr. SAAD SALEEM KHOKHAR</t>
  </si>
  <si>
    <t>Mr. MUHAMMAD AASHIR .</t>
  </si>
  <si>
    <t>Mr. ABDUL WAHAB .</t>
  </si>
  <si>
    <t>Mr. ABDUL REHMAN .</t>
  </si>
  <si>
    <t>OV-7144-DISM</t>
  </si>
  <si>
    <t>CPISM</t>
  </si>
  <si>
    <t>Mr. ABDUL MAJID .</t>
  </si>
  <si>
    <t>Mr. SYED MUHAMMAD AYZAL</t>
  </si>
  <si>
    <t>Mr. HUSNAIN SHABBIR</t>
  </si>
  <si>
    <t>Student1727041</t>
  </si>
  <si>
    <t>Student1726463</t>
  </si>
  <si>
    <t>Student1726159</t>
  </si>
  <si>
    <t>chatgptforth@gmail.com</t>
  </si>
  <si>
    <t>www.bismakhanazdi5@gmail.com</t>
  </si>
  <si>
    <t>alaihaashfaq@gmail.com</t>
  </si>
  <si>
    <t>maryamwaseem223@gmail.com</t>
  </si>
  <si>
    <t>faizaferoze09@gmail.com</t>
  </si>
  <si>
    <t>mbmajidbaloch@gmail.com</t>
  </si>
  <si>
    <t>husnyn24@gmail.com</t>
  </si>
  <si>
    <t>khokharsaad387@gmail.com</t>
  </si>
  <si>
    <t>syedayzal.14@gmail.com</t>
  </si>
  <si>
    <t>wahab8535396@gmail.com</t>
  </si>
  <si>
    <t>aashirrao76@gmail.com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</si>
</sst>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yy"/>
    <numFmt numFmtId="165" formatCode="[$-F800]dddd\,\ mmmm\ dd\,\ yyyy"/>
  </numFmts>
  <fonts count="21">
    <font>
      <sz val="10"/>
      <color rgb="FF000000"/>
      <name val="Arial"/>
      <charset val="134"/>
      <scheme val="minor"/>
    </font>
    <font>
      <b/>
      <u/>
      <sz val="2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u/>
      <sz val="10"/>
      <color rgb="FF0000FF"/>
      <name val="Arial"/>
      <family val="2"/>
    </font>
    <font>
      <sz val="10"/>
      <name val="Arial"/>
      <family val="2"/>
    </font>
    <font>
      <b/>
      <vertAlign val="superscript"/>
      <sz val="10"/>
      <color theme="1"/>
      <name val="Arial"/>
      <family val="2"/>
    </font>
    <font>
      <sz val="11"/>
      <color theme="1"/>
      <name val="Arial"/>
      <family val="2"/>
    </font>
    <font>
      <sz val="14"/>
      <color rgb="FF000000"/>
      <name val="Calibri"/>
      <family val="2"/>
    </font>
    <font>
      <u/>
      <sz val="10"/>
      <color theme="10"/>
      <name val="Arial"/>
      <family val="2"/>
      <scheme val="minor"/>
    </font>
    <font>
      <u/>
      <sz val="11"/>
      <color theme="1"/>
      <name val="Arial"/>
      <family val="2"/>
    </font>
    <font>
      <b/>
      <sz val="26"/>
      <color rgb="FFFF0000"/>
      <name val="Arial"/>
      <family val="2"/>
    </font>
    <font>
      <b/>
      <sz val="10"/>
      <color rgb="FF333399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name val="Arial"/>
      <family val="2"/>
    </font>
    <font>
      <sz val="10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CCFFCC"/>
        <bgColor rgb="FFCCFFCC"/>
      </patternFill>
    </fill>
    <fill>
      <patternFill patternType="solid">
        <fgColor rgb="FF0066CC"/>
        <bgColor rgb="FF0066CC"/>
      </patternFill>
    </fill>
    <fill>
      <patternFill patternType="solid">
        <fgColor rgb="FF0070C0"/>
        <bgColor rgb="FF0066CC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rgb="FF0066CC"/>
      </patternFill>
    </fill>
    <fill>
      <patternFill patternType="solid">
        <fgColor rgb="FFFFFF99"/>
        <bgColor rgb="FFFFFF99"/>
      </patternFill>
    </fill>
    <fill>
      <patternFill patternType="solid">
        <fgColor rgb="FFFFCC00"/>
        <bgColor rgb="FFFFCC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7">
    <xf numFmtId="0" fontId="0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8" fillId="0" borderId="0"/>
    <xf numFmtId="0" fontId="6" fillId="0" borderId="0">
      <alignment wrapText="1"/>
    </xf>
    <xf numFmtId="0" fontId="20" fillId="0" borderId="0"/>
    <xf numFmtId="0" fontId="19" fillId="0" borderId="0"/>
  </cellStyleXfs>
  <cellXfs count="68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164" fontId="4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5" fillId="0" borderId="0" xfId="0" applyFont="1"/>
    <xf numFmtId="0" fontId="2" fillId="0" borderId="2" xfId="0" applyFont="1" applyBorder="1" applyAlignment="1">
      <alignment vertical="center"/>
    </xf>
    <xf numFmtId="0" fontId="6" fillId="0" borderId="3" xfId="0" applyFont="1" applyBorder="1"/>
    <xf numFmtId="0" fontId="6" fillId="0" borderId="4" xfId="0" applyFont="1" applyBorder="1"/>
    <xf numFmtId="0" fontId="7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7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165" fontId="17" fillId="10" borderId="10" xfId="0" applyNumberFormat="1" applyFont="1" applyFill="1" applyBorder="1" applyAlignment="1">
      <alignment horizontal="center" vertical="center"/>
    </xf>
    <xf numFmtId="0" fontId="10" fillId="3" borderId="1" xfId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10" fillId="0" borderId="1" xfId="1" applyNumberFormat="1" applyBorder="1" applyAlignment="1">
      <alignment horizontal="center" vertical="center"/>
    </xf>
    <xf numFmtId="0" fontId="10" fillId="0" borderId="1" xfId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8" fillId="5" borderId="23" xfId="0" applyFont="1" applyFill="1" applyBorder="1" applyAlignment="1">
      <alignment vertical="center"/>
    </xf>
    <xf numFmtId="0" fontId="6" fillId="6" borderId="21" xfId="0" applyFont="1" applyFill="1" applyBorder="1"/>
    <xf numFmtId="0" fontId="8" fillId="6" borderId="5" xfId="0" applyFont="1" applyFill="1" applyBorder="1" applyAlignment="1">
      <alignment horizontal="center" vertical="center"/>
    </xf>
    <xf numFmtId="0" fontId="0" fillId="0" borderId="10" xfId="0" applyBorder="1"/>
    <xf numFmtId="0" fontId="8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2" fillId="8" borderId="0" xfId="0" applyFont="1" applyFill="1" applyAlignment="1">
      <alignment horizontal="center"/>
    </xf>
    <xf numFmtId="0" fontId="6" fillId="0" borderId="0" xfId="0" applyFont="1"/>
    <xf numFmtId="0" fontId="3" fillId="9" borderId="2" xfId="0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13" fillId="8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2" xfId="0" applyFont="1" applyBorder="1" applyAlignment="1">
      <alignment horizontal="left" wrapText="1"/>
    </xf>
    <xf numFmtId="0" fontId="6" fillId="0" borderId="13" xfId="0" applyFont="1" applyBorder="1"/>
    <xf numFmtId="0" fontId="6" fillId="0" borderId="18" xfId="0" applyFont="1" applyBorder="1"/>
    <xf numFmtId="0" fontId="3" fillId="0" borderId="16" xfId="0" applyFont="1" applyBorder="1" applyAlignment="1">
      <alignment horizontal="left" wrapText="1"/>
    </xf>
    <xf numFmtId="0" fontId="6" fillId="0" borderId="17" xfId="0" applyFont="1" applyBorder="1"/>
    <xf numFmtId="0" fontId="6" fillId="0" borderId="20" xfId="0" applyFont="1" applyBorder="1"/>
    <xf numFmtId="0" fontId="3" fillId="0" borderId="0" xfId="0" applyFont="1" applyAlignment="1">
      <alignment horizontal="left" wrapText="1"/>
    </xf>
    <xf numFmtId="0" fontId="0" fillId="0" borderId="0" xfId="0"/>
    <xf numFmtId="0" fontId="3" fillId="0" borderId="8" xfId="0" applyFont="1" applyBorder="1" applyAlignment="1">
      <alignment horizontal="left" wrapText="1"/>
    </xf>
    <xf numFmtId="0" fontId="6" fillId="0" borderId="9" xfId="0" applyFont="1" applyBorder="1"/>
    <xf numFmtId="0" fontId="6" fillId="0" borderId="19" xfId="0" applyFont="1" applyBorder="1"/>
    <xf numFmtId="0" fontId="3" fillId="0" borderId="8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</cellXfs>
  <cellStyles count="7">
    <cellStyle name="Hyperlink" xfId="1" builtinId="8"/>
    <cellStyle name="Hyperlink 2" xfId="2" xr:uid="{7121BC05-24A1-4B0F-A685-D5449E5DBD3E}"/>
    <cellStyle name="Normal" xfId="0" builtinId="0"/>
    <cellStyle name="Normal 2" xfId="3" xr:uid="{76F1AFF7-722E-4123-8890-6C10C3BDA6FD}"/>
    <cellStyle name="Normal 2 2" xfId="4" xr:uid="{751CDD31-57D7-4819-95FC-06FF715F239E}"/>
    <cellStyle name="Normal 3 2" xfId="5" xr:uid="{07114F91-5A67-43CA-9D04-630525C51E2C}"/>
    <cellStyle name="Normal 4" xfId="6" xr:uid="{77C1E660-3B02-401A-974E-BBA886604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</xdr:row>
      <xdr:rowOff>0</xdr:rowOff>
    </xdr:from>
    <xdr:ext cx="0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43675" y="125730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</xdr:row>
      <xdr:rowOff>0</xdr:rowOff>
    </xdr:from>
    <xdr:ext cx="0" cy="9525"/>
    <xdr:pic>
      <xdr:nvPicPr>
        <xdr:cNvPr id="5591" name="image1.png">
          <a:extLst>
            <a:ext uri="{FF2B5EF4-FFF2-40B4-BE49-F238E27FC236}">
              <a16:creationId xmlns:a16="http://schemas.microsoft.com/office/drawing/2014/main" id="{00000000-0008-0000-0100-0000D715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43675" y="4724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6</xdr:col>
      <xdr:colOff>0</xdr:colOff>
      <xdr:row>25</xdr:row>
      <xdr:rowOff>0</xdr:rowOff>
    </xdr:from>
    <xdr:ext cx="28575" cy="28575"/>
    <xdr:pic>
      <xdr:nvPicPr>
        <xdr:cNvPr id="5639" name="image1.png">
          <a:extLst>
            <a:ext uri="{FF2B5EF4-FFF2-40B4-BE49-F238E27FC236}">
              <a16:creationId xmlns:a16="http://schemas.microsoft.com/office/drawing/2014/main" id="{00000000-0008-0000-0100-00000716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43675" y="4724400"/>
          <a:ext cx="285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6</xdr:col>
      <xdr:colOff>19050</xdr:colOff>
      <xdr:row>25</xdr:row>
      <xdr:rowOff>0</xdr:rowOff>
    </xdr:from>
    <xdr:ext cx="0" cy="9525"/>
    <xdr:pic>
      <xdr:nvPicPr>
        <xdr:cNvPr id="5687" name="image1.png">
          <a:extLst>
            <a:ext uri="{FF2B5EF4-FFF2-40B4-BE49-F238E27FC236}">
              <a16:creationId xmlns:a16="http://schemas.microsoft.com/office/drawing/2014/main" id="{00000000-0008-0000-0100-00003716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62725" y="4724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hatgptforth@gmail.com" TargetMode="External"/><Relationship Id="rId13" Type="http://schemas.openxmlformats.org/officeDocument/2006/relationships/hyperlink" Target="mailto:maryamwaseem223@gmail.com" TargetMode="External"/><Relationship Id="rId18" Type="http://schemas.openxmlformats.org/officeDocument/2006/relationships/hyperlink" Target="mailto:syedayzal.14@gmail.com" TargetMode="External"/><Relationship Id="rId3" Type="http://schemas.openxmlformats.org/officeDocument/2006/relationships/hyperlink" Target="mailto:chatgptforth@gmail.com" TargetMode="External"/><Relationship Id="rId21" Type="http://schemas.openxmlformats.org/officeDocument/2006/relationships/hyperlink" Target="mailto:chatgptforth@gmail.com" TargetMode="External"/><Relationship Id="rId7" Type="http://schemas.openxmlformats.org/officeDocument/2006/relationships/hyperlink" Target="mailto:chatgptforth@gmail.com" TargetMode="External"/><Relationship Id="rId12" Type="http://schemas.openxmlformats.org/officeDocument/2006/relationships/hyperlink" Target="mailto:alaihaashfaq@gmail.com" TargetMode="External"/><Relationship Id="rId17" Type="http://schemas.openxmlformats.org/officeDocument/2006/relationships/hyperlink" Target="mailto:khokharsaad387@gmail.com" TargetMode="External"/><Relationship Id="rId2" Type="http://schemas.openxmlformats.org/officeDocument/2006/relationships/hyperlink" Target="mailto:chatgptforth@gmail.com" TargetMode="External"/><Relationship Id="rId16" Type="http://schemas.openxmlformats.org/officeDocument/2006/relationships/hyperlink" Target="mailto:husnyn24@gmail.com" TargetMode="External"/><Relationship Id="rId20" Type="http://schemas.openxmlformats.org/officeDocument/2006/relationships/hyperlink" Target="mailto:aashirrao76@gmail.com" TargetMode="External"/><Relationship Id="rId1" Type="http://schemas.openxmlformats.org/officeDocument/2006/relationships/hyperlink" Target="mailto:tnd@aptech-metro.com.pk" TargetMode="External"/><Relationship Id="rId6" Type="http://schemas.openxmlformats.org/officeDocument/2006/relationships/hyperlink" Target="mailto:chatgptforth@gmail.com" TargetMode="External"/><Relationship Id="rId11" Type="http://schemas.openxmlformats.org/officeDocument/2006/relationships/hyperlink" Target="http://www.bismakhanazdi5@gmail.com" TargetMode="External"/><Relationship Id="rId5" Type="http://schemas.openxmlformats.org/officeDocument/2006/relationships/hyperlink" Target="mailto:chatgptforth@gmail.com" TargetMode="External"/><Relationship Id="rId15" Type="http://schemas.openxmlformats.org/officeDocument/2006/relationships/hyperlink" Target="mailto:mbmajidbaloch@gmail.com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mailto:chatgptforth@gmail.com" TargetMode="External"/><Relationship Id="rId19" Type="http://schemas.openxmlformats.org/officeDocument/2006/relationships/hyperlink" Target="mailto:wahab8535396@gmail.com" TargetMode="External"/><Relationship Id="rId4" Type="http://schemas.openxmlformats.org/officeDocument/2006/relationships/hyperlink" Target="mailto:chatgptforth@gmail.com" TargetMode="External"/><Relationship Id="rId9" Type="http://schemas.openxmlformats.org/officeDocument/2006/relationships/hyperlink" Target="mailto:chatgptforth@gmail.com" TargetMode="External"/><Relationship Id="rId14" Type="http://schemas.openxmlformats.org/officeDocument/2006/relationships/hyperlink" Target="mailto:faizaferoze09@gmail.com" TargetMode="External"/><Relationship Id="rId22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projects.msg.aptech.education@gmail.com" TargetMode="External"/><Relationship Id="rId1" Type="http://schemas.openxmlformats.org/officeDocument/2006/relationships/hyperlink" Target="mailto:cah-msg@aptech-eduacation.com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C00"/>
  </sheetPr>
  <dimension ref="A1:Z1000"/>
  <sheetViews>
    <sheetView topLeftCell="A7" workbookViewId="0">
      <selection sqref="A1:L1"/>
    </sheetView>
  </sheetViews>
  <sheetFormatPr defaultColWidth="12.5703125" defaultRowHeight="15" customHeight="1"/>
  <cols>
    <col min="1" max="1" width="3.85546875" customWidth="1"/>
    <col min="2" max="2" width="12.140625" customWidth="1"/>
    <col min="3" max="11" width="9.140625" customWidth="1"/>
    <col min="12" max="12" width="18.28515625" customWidth="1"/>
    <col min="13" max="26" width="8" customWidth="1"/>
  </cols>
  <sheetData>
    <row r="1" spans="1:26" ht="34.5" customHeight="1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2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53" t="s">
        <v>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2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>
      <c r="A4" s="54" t="s">
        <v>2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2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5.5" customHeight="1">
      <c r="A5" s="26">
        <v>1</v>
      </c>
      <c r="B5" s="55" t="s">
        <v>3</v>
      </c>
      <c r="C5" s="56"/>
      <c r="D5" s="56"/>
      <c r="E5" s="56"/>
      <c r="F5" s="56"/>
      <c r="G5" s="56"/>
      <c r="H5" s="56"/>
      <c r="I5" s="56"/>
      <c r="J5" s="56"/>
      <c r="K5" s="56"/>
      <c r="L5" s="57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7" customHeight="1">
      <c r="A6" s="27">
        <v>2</v>
      </c>
      <c r="B6" s="63" t="s">
        <v>4</v>
      </c>
      <c r="C6" s="64"/>
      <c r="D6" s="64"/>
      <c r="E6" s="64"/>
      <c r="F6" s="64"/>
      <c r="G6" s="64"/>
      <c r="H6" s="64"/>
      <c r="I6" s="64"/>
      <c r="J6" s="64"/>
      <c r="K6" s="64"/>
      <c r="L6" s="6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7" customHeight="1">
      <c r="A7" s="27">
        <v>3</v>
      </c>
      <c r="B7" s="63" t="s">
        <v>5</v>
      </c>
      <c r="C7" s="64"/>
      <c r="D7" s="64"/>
      <c r="E7" s="64"/>
      <c r="F7" s="64"/>
      <c r="G7" s="64"/>
      <c r="H7" s="64"/>
      <c r="I7" s="64"/>
      <c r="J7" s="64"/>
      <c r="K7" s="64"/>
      <c r="L7" s="6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7.75" customHeight="1">
      <c r="A8" s="27">
        <v>4</v>
      </c>
      <c r="B8" s="63" t="s">
        <v>6</v>
      </c>
      <c r="C8" s="64"/>
      <c r="D8" s="64"/>
      <c r="E8" s="64"/>
      <c r="F8" s="64"/>
      <c r="G8" s="64"/>
      <c r="H8" s="64"/>
      <c r="I8" s="64"/>
      <c r="J8" s="64"/>
      <c r="K8" s="64"/>
      <c r="L8" s="6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2.25" customHeight="1">
      <c r="A9" s="27">
        <v>5</v>
      </c>
      <c r="B9" s="66" t="s">
        <v>7</v>
      </c>
      <c r="C9" s="64"/>
      <c r="D9" s="64"/>
      <c r="E9" s="64"/>
      <c r="F9" s="64"/>
      <c r="G9" s="64"/>
      <c r="H9" s="64"/>
      <c r="I9" s="64"/>
      <c r="J9" s="64"/>
      <c r="K9" s="64"/>
      <c r="L9" s="6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7" customHeight="1">
      <c r="A10" s="27">
        <v>6</v>
      </c>
      <c r="B10" s="66" t="s">
        <v>8</v>
      </c>
      <c r="C10" s="64"/>
      <c r="D10" s="64"/>
      <c r="E10" s="64"/>
      <c r="F10" s="64"/>
      <c r="G10" s="64"/>
      <c r="H10" s="64"/>
      <c r="I10" s="64"/>
      <c r="J10" s="64"/>
      <c r="K10" s="64"/>
      <c r="L10" s="6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>
      <c r="A11" s="28">
        <v>7</v>
      </c>
      <c r="B11" s="58" t="s">
        <v>9</v>
      </c>
      <c r="C11" s="59"/>
      <c r="D11" s="59"/>
      <c r="E11" s="59"/>
      <c r="F11" s="59"/>
      <c r="G11" s="59"/>
      <c r="H11" s="59"/>
      <c r="I11" s="59"/>
      <c r="J11" s="59"/>
      <c r="K11" s="59"/>
      <c r="L11" s="60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>
      <c r="A12" s="5"/>
      <c r="B12" s="61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>
      <c r="A13" s="29" t="s">
        <v>10</v>
      </c>
      <c r="B13" s="30" t="s">
        <v>11</v>
      </c>
      <c r="C13" s="31"/>
      <c r="D13" s="31"/>
      <c r="E13" s="31"/>
      <c r="F13" s="31"/>
      <c r="G13" s="31"/>
      <c r="H13" s="31"/>
      <c r="I13" s="31"/>
      <c r="J13" s="30" t="s">
        <v>12</v>
      </c>
      <c r="K13" s="30"/>
      <c r="L13" s="30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" customHeight="1">
      <c r="A14" s="5"/>
      <c r="B14" s="5"/>
      <c r="C14" s="5"/>
      <c r="D14" s="5"/>
      <c r="E14" s="5"/>
      <c r="F14" s="5"/>
      <c r="G14" s="5"/>
      <c r="H14" s="5"/>
      <c r="I14" s="5"/>
      <c r="J14" s="31"/>
      <c r="K14" s="31"/>
      <c r="L14" s="31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>
      <c r="A16" s="5"/>
      <c r="B16" s="3" t="s">
        <v>13</v>
      </c>
      <c r="C16" s="8" t="s">
        <v>14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30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>
      <c r="A20" s="5"/>
      <c r="B20" s="5"/>
      <c r="C20" s="30"/>
      <c r="D20" s="5"/>
      <c r="E20" s="5"/>
      <c r="F20" s="5"/>
      <c r="G20" s="5"/>
      <c r="H20" s="5"/>
      <c r="I20" s="5"/>
      <c r="J20" s="5"/>
      <c r="K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5"/>
      <c r="B23" s="5"/>
      <c r="C23" s="5"/>
      <c r="D23" s="5"/>
      <c r="E23" s="5"/>
      <c r="F23" s="3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11:L11"/>
    <mergeCell ref="B12:L12"/>
    <mergeCell ref="B6:L6"/>
    <mergeCell ref="B7:L7"/>
    <mergeCell ref="B8:L8"/>
    <mergeCell ref="B9:L9"/>
    <mergeCell ref="B10:L10"/>
    <mergeCell ref="A1:L1"/>
    <mergeCell ref="A2:L2"/>
    <mergeCell ref="A3:L3"/>
    <mergeCell ref="A4:L4"/>
    <mergeCell ref="B5:L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3"/>
  <sheetViews>
    <sheetView tabSelected="1" topLeftCell="H1" zoomScale="115" zoomScaleNormal="115" workbookViewId="0">
      <selection activeCell="N17" sqref="N17"/>
    </sheetView>
  </sheetViews>
  <sheetFormatPr defaultColWidth="12.5703125" defaultRowHeight="15" customHeight="1"/>
  <cols>
    <col min="1" max="1" width="8.7109375" customWidth="1"/>
    <col min="2" max="2" width="13.42578125" customWidth="1"/>
    <col min="3" max="3" width="3" hidden="1" customWidth="1"/>
    <col min="4" max="4" width="40.7109375" customWidth="1"/>
    <col min="5" max="5" width="11.5703125" customWidth="1"/>
    <col min="6" max="6" width="23.7109375" customWidth="1"/>
    <col min="7" max="7" width="59.5703125" customWidth="1"/>
    <col min="8" max="8" width="36.5703125" customWidth="1"/>
    <col min="9" max="9" width="32.28515625" customWidth="1"/>
    <col min="10" max="10" width="33.28515625" customWidth="1"/>
    <col min="11" max="11" width="30.140625" customWidth="1"/>
    <col min="12" max="13" width="32.28515625" customWidth="1"/>
    <col min="14" max="14" width="11" customWidth="1"/>
    <col min="15" max="24" width="8" customWidth="1"/>
  </cols>
  <sheetData>
    <row r="1" spans="1:24" ht="17.25" customHeight="1">
      <c r="A1" s="9" t="s">
        <v>15</v>
      </c>
      <c r="B1" s="10"/>
      <c r="C1" s="10"/>
      <c r="D1" s="10"/>
      <c r="E1" s="11"/>
      <c r="F1" s="12" t="s">
        <v>16</v>
      </c>
      <c r="G1" s="10"/>
      <c r="H1" s="10"/>
      <c r="I1" s="11"/>
      <c r="J1" s="14"/>
      <c r="K1" s="20"/>
      <c r="L1" s="20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ht="14.25" customHeight="1">
      <c r="A2" s="9" t="s">
        <v>17</v>
      </c>
      <c r="B2" s="10"/>
      <c r="C2" s="10"/>
      <c r="D2" s="10"/>
      <c r="E2" s="11"/>
      <c r="F2" s="9" t="s">
        <v>13</v>
      </c>
      <c r="G2" s="10"/>
      <c r="H2" s="13" t="s">
        <v>14</v>
      </c>
      <c r="I2" s="11"/>
      <c r="J2" s="2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2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 ht="55.5" customHeight="1">
      <c r="A4" s="15" t="s">
        <v>18</v>
      </c>
      <c r="B4" s="15" t="s">
        <v>19</v>
      </c>
      <c r="C4" s="15" t="s">
        <v>20</v>
      </c>
      <c r="D4" s="15" t="s">
        <v>21</v>
      </c>
      <c r="E4" s="15" t="s">
        <v>22</v>
      </c>
      <c r="F4" s="15" t="s">
        <v>23</v>
      </c>
      <c r="G4" s="15" t="s">
        <v>24</v>
      </c>
      <c r="H4" s="15" t="s">
        <v>25</v>
      </c>
      <c r="I4" s="15" t="s">
        <v>26</v>
      </c>
      <c r="J4" s="15" t="s">
        <v>27</v>
      </c>
      <c r="K4" s="15" t="s">
        <v>28</v>
      </c>
      <c r="L4" s="15" t="s">
        <v>29</v>
      </c>
      <c r="M4" s="22" t="s">
        <v>30</v>
      </c>
      <c r="N4" s="15" t="s">
        <v>31</v>
      </c>
      <c r="O4" s="23"/>
      <c r="P4" s="23"/>
      <c r="Q4" s="23"/>
      <c r="R4" s="23"/>
      <c r="S4" s="23"/>
      <c r="T4" s="23"/>
      <c r="U4" s="23"/>
      <c r="V4" s="23"/>
      <c r="W4" s="23"/>
      <c r="X4" s="23"/>
    </row>
    <row r="5" spans="1:24" ht="17.25" customHeight="1">
      <c r="A5" s="16">
        <v>1</v>
      </c>
      <c r="B5" s="45">
        <v>1</v>
      </c>
      <c r="C5" s="16" t="str">
        <f>CONCATENATE(K5," / ",L5)</f>
        <v>OV-7144-ADSE / CPISM</v>
      </c>
      <c r="D5" s="17" t="s">
        <v>56</v>
      </c>
      <c r="E5" s="16" t="s">
        <v>32</v>
      </c>
      <c r="F5" s="17" t="s">
        <v>57</v>
      </c>
      <c r="G5" s="17" t="s">
        <v>61</v>
      </c>
      <c r="H5" s="36" t="s">
        <v>82</v>
      </c>
      <c r="I5" s="37" t="s">
        <v>81</v>
      </c>
      <c r="J5" s="17" t="s">
        <v>33</v>
      </c>
      <c r="K5" s="17" t="s">
        <v>35</v>
      </c>
      <c r="L5" s="43" t="s">
        <v>74</v>
      </c>
      <c r="M5" s="16"/>
      <c r="N5" s="16" t="s">
        <v>34</v>
      </c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4" ht="12.75" customHeight="1">
      <c r="A6" s="16">
        <v>2</v>
      </c>
      <c r="B6" s="46"/>
      <c r="C6" s="16" t="str">
        <f>CONCATENATE(K6," / ",L6)</f>
        <v>OV-7144-ADSE / CPISM</v>
      </c>
      <c r="D6" s="17" t="s">
        <v>56</v>
      </c>
      <c r="E6" s="16" t="s">
        <v>32</v>
      </c>
      <c r="F6" s="17" t="s">
        <v>58</v>
      </c>
      <c r="G6" s="17" t="s">
        <v>62</v>
      </c>
      <c r="H6" s="36" t="s">
        <v>83</v>
      </c>
      <c r="I6" s="37" t="s">
        <v>81</v>
      </c>
      <c r="J6" s="17" t="s">
        <v>33</v>
      </c>
      <c r="K6" s="17" t="s">
        <v>35</v>
      </c>
      <c r="L6" s="17" t="s">
        <v>74</v>
      </c>
      <c r="M6" s="16"/>
      <c r="N6" s="16" t="s">
        <v>34</v>
      </c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24" ht="12.75" customHeight="1">
      <c r="A7" s="16">
        <v>3</v>
      </c>
      <c r="B7" s="46"/>
      <c r="C7" s="18"/>
      <c r="D7" s="17" t="s">
        <v>56</v>
      </c>
      <c r="E7" s="16" t="s">
        <v>32</v>
      </c>
      <c r="F7" s="17" t="s">
        <v>59</v>
      </c>
      <c r="G7" s="17" t="s">
        <v>63</v>
      </c>
      <c r="H7" s="36" t="s">
        <v>84</v>
      </c>
      <c r="I7" s="37" t="s">
        <v>81</v>
      </c>
      <c r="J7" s="17" t="s">
        <v>33</v>
      </c>
      <c r="K7" s="17" t="s">
        <v>73</v>
      </c>
      <c r="L7" s="17" t="s">
        <v>74</v>
      </c>
      <c r="M7" s="16"/>
      <c r="N7" s="16" t="s">
        <v>34</v>
      </c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 ht="12.75" customHeight="1">
      <c r="A8" s="16">
        <v>4</v>
      </c>
      <c r="B8" s="46"/>
      <c r="C8" s="16" t="e">
        <f>CONCATENATE(#REF!," / ",L8)</f>
        <v>#REF!</v>
      </c>
      <c r="D8" s="17" t="s">
        <v>56</v>
      </c>
      <c r="E8" s="16" t="s">
        <v>32</v>
      </c>
      <c r="F8" s="17" t="s">
        <v>60</v>
      </c>
      <c r="G8" s="44" t="s">
        <v>64</v>
      </c>
      <c r="H8" s="36" t="s">
        <v>85</v>
      </c>
      <c r="I8" s="37" t="s">
        <v>81</v>
      </c>
      <c r="J8" s="17" t="s">
        <v>33</v>
      </c>
      <c r="K8" s="17" t="s">
        <v>73</v>
      </c>
      <c r="L8" s="43" t="s">
        <v>74</v>
      </c>
      <c r="M8" s="24"/>
      <c r="N8" s="16" t="s">
        <v>34</v>
      </c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24" ht="12.75" customHeight="1">
      <c r="A9" s="19"/>
      <c r="B9" s="19"/>
      <c r="C9" s="19"/>
      <c r="D9" s="19"/>
      <c r="E9" s="19"/>
      <c r="F9" s="19"/>
      <c r="G9" s="19"/>
      <c r="H9" s="19"/>
      <c r="I9" s="25"/>
      <c r="J9" s="19"/>
      <c r="K9" s="19"/>
      <c r="L9" s="19"/>
      <c r="M9" s="19"/>
      <c r="N9" s="19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24" ht="12.75" customHeight="1">
      <c r="A10" s="16">
        <v>1</v>
      </c>
      <c r="B10" s="45">
        <v>2</v>
      </c>
      <c r="C10" s="16" t="str">
        <f>CONCATENATE(K10," / ",L10)</f>
        <v>OV-7144-ADSE / CPISM</v>
      </c>
      <c r="D10" s="17" t="s">
        <v>56</v>
      </c>
      <c r="E10" s="16" t="s">
        <v>32</v>
      </c>
      <c r="F10" s="17" t="s">
        <v>65</v>
      </c>
      <c r="G10" s="44" t="s">
        <v>69</v>
      </c>
      <c r="H10" s="36" t="s">
        <v>88</v>
      </c>
      <c r="I10" s="37" t="s">
        <v>81</v>
      </c>
      <c r="J10" s="17" t="s">
        <v>33</v>
      </c>
      <c r="K10" s="17" t="s">
        <v>35</v>
      </c>
      <c r="L10" s="17" t="s">
        <v>74</v>
      </c>
      <c r="M10" s="16"/>
      <c r="N10" s="16" t="s">
        <v>34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ht="12.75" customHeight="1">
      <c r="A11" s="16">
        <v>2</v>
      </c>
      <c r="B11" s="46"/>
      <c r="C11" s="16" t="str">
        <f>CONCATENATE(K11," / ",L11)</f>
        <v>OV-7144-DISM / CPISM</v>
      </c>
      <c r="D11" s="17" t="s">
        <v>56</v>
      </c>
      <c r="E11" s="16" t="s">
        <v>32</v>
      </c>
      <c r="F11" s="17" t="s">
        <v>66</v>
      </c>
      <c r="G11" s="17" t="s">
        <v>70</v>
      </c>
      <c r="H11" s="36" t="s">
        <v>91</v>
      </c>
      <c r="I11" s="37" t="s">
        <v>81</v>
      </c>
      <c r="J11" s="17" t="s">
        <v>33</v>
      </c>
      <c r="K11" s="17" t="s">
        <v>73</v>
      </c>
      <c r="L11" s="17" t="s">
        <v>74</v>
      </c>
      <c r="M11" s="16"/>
      <c r="N11" s="16" t="s">
        <v>34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 ht="12.75" customHeight="1">
      <c r="A12" s="16">
        <v>3</v>
      </c>
      <c r="B12" s="46"/>
      <c r="C12" s="16" t="str">
        <f>CONCATENATE(K12," / ",L12)</f>
        <v>OV-7144-ADSE / CPISM</v>
      </c>
      <c r="D12" s="17" t="s">
        <v>56</v>
      </c>
      <c r="E12" s="16" t="s">
        <v>32</v>
      </c>
      <c r="F12" s="17" t="s">
        <v>67</v>
      </c>
      <c r="G12" s="17" t="s">
        <v>71</v>
      </c>
      <c r="H12" s="36" t="s">
        <v>90</v>
      </c>
      <c r="I12" s="37" t="s">
        <v>81</v>
      </c>
      <c r="J12" s="17" t="s">
        <v>33</v>
      </c>
      <c r="K12" s="17" t="s">
        <v>35</v>
      </c>
      <c r="L12" s="17" t="s">
        <v>74</v>
      </c>
      <c r="M12" s="16"/>
      <c r="N12" s="16" t="s">
        <v>34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ht="12.75" customHeight="1">
      <c r="A13" s="16">
        <v>4</v>
      </c>
      <c r="B13" s="46"/>
      <c r="C13" s="18"/>
      <c r="D13" s="17" t="s">
        <v>56</v>
      </c>
      <c r="E13" s="16" t="s">
        <v>32</v>
      </c>
      <c r="F13" s="17" t="s">
        <v>68</v>
      </c>
      <c r="G13" s="17" t="s">
        <v>72</v>
      </c>
      <c r="H13" s="37" t="s">
        <v>81</v>
      </c>
      <c r="I13" s="37" t="s">
        <v>81</v>
      </c>
      <c r="J13" s="17" t="s">
        <v>33</v>
      </c>
      <c r="K13" s="17" t="s">
        <v>73</v>
      </c>
      <c r="L13" s="17" t="s">
        <v>74</v>
      </c>
      <c r="M13" s="16"/>
      <c r="N13" s="16" t="s">
        <v>34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ht="12.75" customHeight="1">
      <c r="A14" s="39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1"/>
      <c r="N14" s="41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24" ht="12.75" customHeight="1">
      <c r="A15" s="16">
        <v>1</v>
      </c>
      <c r="B15" s="45">
        <v>3</v>
      </c>
      <c r="C15" s="16"/>
      <c r="D15" s="17" t="s">
        <v>56</v>
      </c>
      <c r="E15" s="16" t="s">
        <v>32</v>
      </c>
      <c r="F15" s="17" t="s">
        <v>78</v>
      </c>
      <c r="G15" s="44" t="s">
        <v>75</v>
      </c>
      <c r="H15" s="36" t="s">
        <v>86</v>
      </c>
      <c r="I15" s="37" t="s">
        <v>81</v>
      </c>
      <c r="J15" s="17" t="s">
        <v>33</v>
      </c>
      <c r="K15" s="17" t="s">
        <v>73</v>
      </c>
      <c r="L15" s="17" t="s">
        <v>74</v>
      </c>
      <c r="M15" s="42"/>
      <c r="N15" s="16" t="s">
        <v>34</v>
      </c>
      <c r="R15" s="14"/>
      <c r="S15" s="14"/>
      <c r="T15" s="14"/>
      <c r="U15" s="14"/>
      <c r="V15" s="14"/>
      <c r="W15" s="14"/>
      <c r="X15" s="14"/>
    </row>
    <row r="16" spans="1:24" ht="12.75" customHeight="1">
      <c r="A16" s="16">
        <v>2</v>
      </c>
      <c r="B16" s="46"/>
      <c r="C16" s="16"/>
      <c r="D16" s="17" t="s">
        <v>56</v>
      </c>
      <c r="E16" s="16" t="s">
        <v>32</v>
      </c>
      <c r="F16" s="17" t="s">
        <v>79</v>
      </c>
      <c r="G16" s="17" t="s">
        <v>76</v>
      </c>
      <c r="H16" s="36" t="s">
        <v>89</v>
      </c>
      <c r="I16" s="37" t="s">
        <v>81</v>
      </c>
      <c r="J16" s="17" t="s">
        <v>33</v>
      </c>
      <c r="K16" s="17" t="s">
        <v>35</v>
      </c>
      <c r="L16" s="17" t="s">
        <v>74</v>
      </c>
      <c r="M16" s="42"/>
      <c r="N16" s="16" t="s">
        <v>34</v>
      </c>
      <c r="R16" s="14"/>
      <c r="S16" s="14"/>
      <c r="T16" s="14"/>
      <c r="U16" s="14"/>
      <c r="V16" s="14"/>
      <c r="W16" s="14"/>
    </row>
    <row r="17" spans="1:25" ht="12.75" customHeight="1">
      <c r="A17" s="16">
        <v>3</v>
      </c>
      <c r="B17" s="47"/>
      <c r="C17" s="16"/>
      <c r="D17" s="17" t="s">
        <v>56</v>
      </c>
      <c r="E17" s="16" t="s">
        <v>32</v>
      </c>
      <c r="F17" s="17" t="s">
        <v>80</v>
      </c>
      <c r="G17" s="17" t="s">
        <v>77</v>
      </c>
      <c r="H17" s="36" t="s">
        <v>87</v>
      </c>
      <c r="I17" s="37" t="s">
        <v>81</v>
      </c>
      <c r="J17" s="17" t="s">
        <v>33</v>
      </c>
      <c r="K17" s="17" t="s">
        <v>35</v>
      </c>
      <c r="L17" s="17" t="s">
        <v>74</v>
      </c>
      <c r="M17" s="42"/>
      <c r="N17" s="16" t="s">
        <v>34</v>
      </c>
      <c r="R17" s="14"/>
      <c r="S17" s="14"/>
      <c r="T17" s="14"/>
      <c r="U17" s="14"/>
      <c r="V17" s="14"/>
      <c r="W17" s="14"/>
      <c r="X17" s="14"/>
      <c r="Y17" s="14"/>
    </row>
    <row r="18" spans="1:25" ht="12.75" customHeight="1">
      <c r="A18" s="38"/>
      <c r="R18" s="14"/>
      <c r="S18" s="14"/>
      <c r="T18" s="14"/>
      <c r="U18" s="14"/>
      <c r="V18" s="14"/>
      <c r="W18" s="14"/>
      <c r="X18" s="14"/>
      <c r="Y18" s="14"/>
    </row>
    <row r="19" spans="1:25" ht="12.75" customHeight="1">
      <c r="R19" s="14"/>
      <c r="S19" s="14"/>
      <c r="T19" s="14"/>
      <c r="U19" s="14"/>
      <c r="V19" s="14"/>
      <c r="W19" s="14"/>
      <c r="X19" s="14"/>
      <c r="Y19" s="14"/>
    </row>
    <row r="20" spans="1:25" ht="12.75" customHeight="1">
      <c r="R20" s="14"/>
      <c r="S20" s="14"/>
      <c r="T20" s="14"/>
      <c r="U20" s="14"/>
      <c r="V20" s="14"/>
      <c r="W20" s="14"/>
      <c r="X20" s="14"/>
    </row>
    <row r="21" spans="1:25" ht="12.75" customHeight="1">
      <c r="R21" s="14"/>
      <c r="S21" s="14"/>
      <c r="T21" s="14"/>
      <c r="U21" s="14"/>
      <c r="V21" s="14"/>
      <c r="W21" s="14"/>
      <c r="X21" s="14"/>
    </row>
    <row r="22" spans="1:25" ht="12.75" customHeight="1">
      <c r="R22" s="14"/>
      <c r="S22" s="14"/>
      <c r="T22" s="14"/>
      <c r="U22" s="14"/>
      <c r="V22" s="14"/>
      <c r="W22" s="14"/>
      <c r="X22" s="14"/>
    </row>
    <row r="23" spans="1:25" ht="12.75" customHeight="1">
      <c r="R23" s="14"/>
      <c r="S23" s="14"/>
      <c r="T23" s="14"/>
      <c r="U23" s="14"/>
      <c r="V23" s="14"/>
      <c r="W23" s="14"/>
      <c r="X23" s="14"/>
    </row>
    <row r="24" spans="1:25" ht="12.75" customHeight="1">
      <c r="R24" s="14"/>
      <c r="S24" s="14"/>
      <c r="T24" s="14"/>
      <c r="U24" s="14"/>
      <c r="V24" s="14"/>
      <c r="W24" s="14"/>
      <c r="X24" s="14"/>
    </row>
    <row r="25" spans="1:25" ht="12.75" customHeight="1">
      <c r="R25" s="14"/>
      <c r="S25" s="14"/>
      <c r="T25" s="14"/>
      <c r="U25" s="14"/>
      <c r="V25" s="14"/>
      <c r="W25" s="14"/>
      <c r="X25" s="14"/>
    </row>
    <row r="26" spans="1:25" ht="12.75" customHeight="1">
      <c r="R26" s="14"/>
      <c r="S26" s="14"/>
      <c r="T26" s="14"/>
      <c r="U26" s="14"/>
      <c r="V26" s="14"/>
      <c r="W26" s="14"/>
      <c r="X26" s="14"/>
    </row>
    <row r="27" spans="1:25" ht="13.5" customHeight="1">
      <c r="R27" s="14"/>
      <c r="S27" s="14"/>
      <c r="T27" s="14"/>
      <c r="U27" s="14"/>
      <c r="V27" s="14"/>
      <c r="W27" s="14"/>
      <c r="X27" s="14"/>
    </row>
    <row r="28" spans="1:25" ht="18.75">
      <c r="A28" s="14"/>
      <c r="B28" s="14"/>
      <c r="C28" s="14"/>
      <c r="D28" s="34"/>
      <c r="E28" s="35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5" ht="12.7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5" ht="12.7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5" ht="12.7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1:25" ht="12.7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 ht="12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 ht="12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spans="1:24" ht="12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spans="1:24" ht="12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spans="1:24" ht="12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2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1:24" ht="12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:24" ht="12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1:24" ht="12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spans="1:24" ht="12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spans="1:24" ht="12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spans="1:24" ht="12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spans="1:24" ht="12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spans="1:24" ht="12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spans="1:24" ht="12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spans="1:24" ht="12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spans="1:24" ht="12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spans="1:24" ht="12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1:24" ht="12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spans="1:24" ht="12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spans="1:24" ht="12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spans="1:24" ht="12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spans="1:24" ht="12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spans="1:24" ht="12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spans="1:24" ht="12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spans="1:24" ht="12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spans="1:24" ht="12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spans="1:24" ht="12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spans="1:24" ht="12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spans="1:24" ht="12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spans="1:24" ht="12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spans="1:24" ht="12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spans="1:24" ht="12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spans="1:24" ht="12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spans="1:24" ht="12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spans="1:24" ht="12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spans="1:24" ht="12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spans="1:24" ht="12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spans="1:24" ht="12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spans="1:24" ht="12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1:24" ht="12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1:24" ht="12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spans="1:24" ht="12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spans="1:24" ht="12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spans="1:24" ht="12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spans="1:24" ht="12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spans="1:24" ht="12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1:24" ht="12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1:24" ht="12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spans="1:24" ht="12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spans="1:24" ht="12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spans="1:24" ht="12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spans="1:24" ht="12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spans="1:24" ht="12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spans="1:24" ht="12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spans="1:24" ht="12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spans="1:24" ht="12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spans="1:24" ht="12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spans="1:24" ht="12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spans="1:24" ht="12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spans="1:24" ht="12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spans="1:24" ht="12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spans="1:24" ht="12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spans="1:24" ht="12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spans="1:24" ht="12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spans="1:24" ht="12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spans="1:24" ht="12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spans="1:24" ht="12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spans="1:24" ht="12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spans="1:24" ht="12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spans="1:24" ht="12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spans="1:24" ht="12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spans="1:24" ht="12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spans="1:24" ht="12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spans="1:24" ht="12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spans="1:24" ht="12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spans="1:24" ht="12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spans="1:24" ht="12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spans="1:24" ht="12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spans="1:24" ht="12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spans="1:24" ht="12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spans="1:24" ht="12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spans="1:24" ht="12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spans="1:24" ht="12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spans="1:24" ht="12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spans="1:24" ht="12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spans="1:24" ht="12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spans="1:24" ht="12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spans="1:24" ht="12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spans="1:24" ht="12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spans="1:24" ht="12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spans="1:24" ht="12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 spans="1:24" ht="12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spans="1:24" ht="12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spans="1:24" ht="12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spans="1:24" ht="12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spans="1:24" ht="12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spans="1:24" ht="12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spans="1:24" ht="12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spans="1:24" ht="12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spans="1:24" ht="12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spans="1:24" ht="12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spans="1:24" ht="12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spans="1:24" ht="12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spans="1:24" ht="12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spans="1:24" ht="12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spans="1:24" ht="12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spans="1:24" ht="12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 spans="1:24" ht="12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 spans="1:24" ht="12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spans="1:24" ht="12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 spans="1:24" ht="12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 spans="1:24" ht="12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 spans="1:24" ht="12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 spans="1:24" ht="12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 spans="1:24" ht="12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 spans="1:24" ht="12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 spans="1:24" ht="12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 spans="1:24" ht="12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 spans="1:24" ht="12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 spans="1:24" ht="12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 spans="1:24" ht="12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 spans="1:24" ht="12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 spans="1:24" ht="12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 spans="1:24" ht="12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 spans="1:24" ht="12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 spans="1:24" ht="12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 spans="1:24" ht="12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 spans="1:24" ht="12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 spans="1:24" ht="12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 spans="1:24" ht="12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 spans="1:24" ht="12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 spans="1:24" ht="12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 spans="1:24" ht="12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 spans="1:24" ht="12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 spans="1:24" ht="12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 spans="1:24" ht="12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 spans="1:24" ht="12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 spans="1:24" ht="12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 spans="1:24" ht="12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 spans="1:24" ht="12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 spans="1:24" ht="12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 spans="1:24" ht="12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 spans="1:24" ht="12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spans="1:24" ht="12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spans="1:24" ht="12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spans="1:24" ht="12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spans="1:24" ht="12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 spans="1:24" ht="12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 spans="1:24" ht="12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 spans="1:24" ht="12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spans="1:24" ht="12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spans="1:24" ht="12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spans="1:24" ht="12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 spans="1:24" ht="12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 spans="1:24" ht="12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 spans="1:24" ht="12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 spans="1:24" ht="12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 spans="1:24" ht="12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 spans="1:24" ht="12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 spans="1:24" ht="12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 spans="1:24" ht="12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 spans="1:24" ht="12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 spans="1:24" ht="12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 spans="1:24" ht="12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 spans="1:24" ht="12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 spans="1:24" ht="12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 spans="1:24" ht="12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 spans="1:24" ht="12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 spans="1:24" ht="12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 spans="1:24" ht="12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 spans="1:24" ht="12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 spans="1:24" ht="12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 spans="1:24" ht="12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 spans="1:24" ht="12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 spans="1:24" ht="12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 spans="1:24" ht="12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 spans="1:24" ht="12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 spans="1:24" ht="12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 spans="1:24" ht="12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 spans="1:24" ht="12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 spans="1:24" ht="12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 spans="1:24" ht="12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 spans="1:24" ht="12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 spans="1:24" ht="12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 spans="1:24" ht="12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 spans="1:24" ht="12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 spans="1:24" ht="12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 spans="1:24" ht="12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 spans="1:24" ht="12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 spans="1:24" ht="12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 spans="1:24" ht="12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 spans="1:24" ht="12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 spans="1:24" ht="12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 spans="1:24" ht="15.75" customHeight="1"/>
    <row r="228" spans="1:24" ht="15.75" customHeight="1"/>
    <row r="229" spans="1:24" ht="15.75" customHeight="1"/>
    <row r="230" spans="1:24" ht="15.75" customHeight="1"/>
    <row r="231" spans="1:24" ht="15.75" customHeight="1"/>
    <row r="232" spans="1:24" ht="15.75" customHeight="1"/>
    <row r="233" spans="1:24" ht="15.75" customHeight="1"/>
    <row r="234" spans="1:24" ht="15.75" customHeight="1"/>
    <row r="235" spans="1:24" ht="15.75" customHeight="1"/>
    <row r="236" spans="1:24" ht="15.75" customHeight="1"/>
    <row r="237" spans="1:24" ht="15.75" customHeight="1"/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3">
    <mergeCell ref="B5:B8"/>
    <mergeCell ref="B10:B13"/>
    <mergeCell ref="B15:B17"/>
  </mergeCells>
  <hyperlinks>
    <hyperlink ref="I9" r:id="rId1" display="mailto:tnd@aptech-metro.com.pk" xr:uid="{00000000-0004-0000-0100-000002000000}"/>
    <hyperlink ref="I5" r:id="rId2" xr:uid="{86F4C819-41D1-4BF1-BD01-BD7776EB3FB9}"/>
    <hyperlink ref="I6:I8" r:id="rId3" display="chatgptforth@gmail.com" xr:uid="{0EAF60BB-3D00-4C4F-B398-C698B21F7D96}"/>
    <hyperlink ref="I10" r:id="rId4" xr:uid="{E0B167C3-B565-4070-B6C7-742E54B01F8B}"/>
    <hyperlink ref="I11" r:id="rId5" xr:uid="{2150B35C-4F9E-425F-8985-5F8A067A9D07}"/>
    <hyperlink ref="I12" r:id="rId6" xr:uid="{03409B71-C4C7-4380-8C81-77D8A3866D7B}"/>
    <hyperlink ref="I13" r:id="rId7" xr:uid="{6C47CE3E-AA18-418A-AE37-A134E8319A4D}"/>
    <hyperlink ref="I15" r:id="rId8" xr:uid="{63FD3376-AD87-40FC-8F5E-E611A15177B7}"/>
    <hyperlink ref="I16" r:id="rId9" xr:uid="{086405BB-2C23-4374-9F0A-4256C3015FD1}"/>
    <hyperlink ref="I17" r:id="rId10" xr:uid="{EDB8D287-2E4D-4431-A895-D816306956EE}"/>
    <hyperlink ref="H5" r:id="rId11" xr:uid="{5A9C773D-DA32-4735-AF57-2D3F6C7FB590}"/>
    <hyperlink ref="H6" r:id="rId12" xr:uid="{AB3221E8-2409-47AC-8715-D77EEFA082EA}"/>
    <hyperlink ref="H7" r:id="rId13" xr:uid="{49931FB1-3ADB-4ADC-A66C-D6A7155DB9E8}"/>
    <hyperlink ref="H8" r:id="rId14" xr:uid="{DCD5F9DB-3641-4CF6-A3FC-C9EA86ED49E7}"/>
    <hyperlink ref="H15" r:id="rId15" xr:uid="{98833A00-E67F-4D87-888A-23CB6B205087}"/>
    <hyperlink ref="H17" r:id="rId16" xr:uid="{1FCB41B4-78A7-4506-A3F4-5C542DDC2350}"/>
    <hyperlink ref="H10" r:id="rId17" xr:uid="{D1D3A772-9DE1-4460-A273-0C6C040A4220}"/>
    <hyperlink ref="H16" r:id="rId18" xr:uid="{499A5775-9EBE-46BB-89D4-FC4021FF4777}"/>
    <hyperlink ref="H12" r:id="rId19" xr:uid="{7C6CB376-94AB-4A13-A0EA-A267841B4970}"/>
    <hyperlink ref="H11" r:id="rId20" xr:uid="{92295E77-F74D-4715-A5EA-11DFC974BFE0}"/>
    <hyperlink ref="H13" r:id="rId21" xr:uid="{8ECF988B-7122-4B4E-B72B-646B8638B297}"/>
  </hyperlinks>
  <pageMargins left="0.7" right="0.7" top="0.75" bottom="0.75" header="0" footer="0"/>
  <pageSetup orientation="landscape" r:id="rId22"/>
  <headerFooter>
    <oddHeader>&amp;RPage 2 of 2</oddHeader>
    <oddFooter>&amp;LVer: 2.0&amp;CeProjects Registration Details&amp;RRelease Date: 01-January-2006</oddFooter>
  </headerFooter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000"/>
  <sheetViews>
    <sheetView showGridLines="0" workbookViewId="0">
      <selection activeCell="E23" sqref="E23"/>
    </sheetView>
  </sheetViews>
  <sheetFormatPr defaultColWidth="12.5703125" defaultRowHeight="15" customHeight="1"/>
  <cols>
    <col min="1" max="1" width="8" customWidth="1"/>
    <col min="2" max="2" width="29.42578125" customWidth="1"/>
    <col min="3" max="3" width="44.7109375" customWidth="1"/>
    <col min="4" max="6" width="8" customWidth="1"/>
  </cols>
  <sheetData>
    <row r="1" spans="2:3" ht="26.25" customHeight="1">
      <c r="B1" s="67" t="s">
        <v>36</v>
      </c>
      <c r="C1" s="62"/>
    </row>
    <row r="2" spans="2:3" ht="12.75" customHeight="1"/>
    <row r="3" spans="2:3" ht="12.75" customHeight="1"/>
    <row r="4" spans="2:3" ht="12.75" customHeight="1">
      <c r="B4" s="1" t="s">
        <v>37</v>
      </c>
      <c r="C4" s="2" t="s">
        <v>38</v>
      </c>
    </row>
    <row r="5" spans="2:3" ht="12.75" customHeight="1">
      <c r="B5" s="3"/>
    </row>
    <row r="6" spans="2:3" ht="12.75" customHeight="1">
      <c r="B6" s="1" t="s">
        <v>39</v>
      </c>
      <c r="C6" s="2" t="s">
        <v>40</v>
      </c>
    </row>
    <row r="7" spans="2:3" ht="12.75" customHeight="1">
      <c r="B7" s="3"/>
    </row>
    <row r="8" spans="2:3" ht="12.75" customHeight="1">
      <c r="B8" s="1" t="s">
        <v>41</v>
      </c>
      <c r="C8" s="2" t="s">
        <v>42</v>
      </c>
    </row>
    <row r="9" spans="2:3" ht="12.75" customHeight="1">
      <c r="B9" s="3"/>
    </row>
    <row r="10" spans="2:3" ht="12.75" customHeight="1">
      <c r="B10" s="1" t="s">
        <v>43</v>
      </c>
      <c r="C10" s="2" t="s">
        <v>44</v>
      </c>
    </row>
    <row r="11" spans="2:3" ht="12.75" customHeight="1">
      <c r="B11" s="3"/>
    </row>
    <row r="12" spans="2:3" ht="12.75" customHeight="1">
      <c r="B12" s="1" t="s">
        <v>45</v>
      </c>
      <c r="C12" s="2" t="s">
        <v>46</v>
      </c>
    </row>
    <row r="13" spans="2:3" ht="12.75" customHeight="1">
      <c r="B13" s="3"/>
    </row>
    <row r="14" spans="2:3" ht="12.75" customHeight="1">
      <c r="B14" s="1" t="s">
        <v>47</v>
      </c>
      <c r="C14" s="32">
        <v>46213</v>
      </c>
    </row>
    <row r="15" spans="2:3" ht="12.75" customHeight="1">
      <c r="B15" s="3" t="s">
        <v>48</v>
      </c>
      <c r="C15" s="4"/>
    </row>
    <row r="16" spans="2:3" ht="12.75" customHeight="1">
      <c r="C16" s="4"/>
    </row>
    <row r="17" spans="2:5" ht="12.75" customHeight="1">
      <c r="B17" s="1" t="s">
        <v>49</v>
      </c>
      <c r="C17" s="32">
        <v>46244</v>
      </c>
    </row>
    <row r="18" spans="2:5" ht="12.75" customHeight="1">
      <c r="B18" s="3" t="s">
        <v>48</v>
      </c>
    </row>
    <row r="19" spans="2:5" ht="12.75" customHeight="1">
      <c r="E19" s="5" t="s">
        <v>50</v>
      </c>
    </row>
    <row r="20" spans="2:5" ht="12.75" customHeight="1">
      <c r="B20" s="1" t="s">
        <v>51</v>
      </c>
      <c r="C20" s="33" t="s">
        <v>55</v>
      </c>
    </row>
    <row r="21" spans="2:5" ht="12.75" customHeight="1">
      <c r="B21" s="3"/>
    </row>
    <row r="22" spans="2:5" ht="12.75" customHeight="1">
      <c r="B22" s="1" t="s">
        <v>52</v>
      </c>
      <c r="C22" s="6" t="s">
        <v>53</v>
      </c>
    </row>
    <row r="23" spans="2:5" ht="12.75" customHeight="1"/>
    <row r="24" spans="2:5" ht="12.75" customHeight="1"/>
    <row r="25" spans="2:5" ht="12.75" customHeight="1"/>
    <row r="26" spans="2:5" ht="12.75" customHeight="1">
      <c r="B26" s="7" t="s">
        <v>13</v>
      </c>
      <c r="C26" s="8" t="s">
        <v>54</v>
      </c>
    </row>
    <row r="27" spans="2:5" ht="12.75" customHeight="1"/>
    <row r="28" spans="2:5" ht="12.75" customHeight="1"/>
    <row r="29" spans="2:5" ht="12.75" customHeight="1"/>
    <row r="30" spans="2:5" ht="12.75" customHeight="1"/>
    <row r="31" spans="2:5" ht="12.75" customHeight="1"/>
    <row r="32" spans="2: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C1"/>
  </mergeCells>
  <dataValidations count="2">
    <dataValidation type="list" allowBlank="1" showInputMessage="1" showErrorMessage="1" prompt=" - " sqref="C4" xr:uid="{00000000-0002-0000-0200-000000000000}">
      <formula1>"APTECH COMPUTER EDUCATION,ARENA MULTIMEDIA,SSi"</formula1>
    </dataValidation>
    <dataValidation type="list" allowBlank="1" showInputMessage="1" showErrorMessage="1" prompt=" - " sqref="C8" xr:uid="{00000000-0002-0000-0200-000001000000}">
      <formula1>"EAST,NORTH,SOUTH,WEST"</formula1>
    </dataValidation>
  </dataValidations>
  <hyperlinks>
    <hyperlink ref="C22" r:id="rId1" xr:uid="{00000000-0004-0000-0200-000000000000}"/>
    <hyperlink ref="C20" r:id="rId2" xr:uid="{6BC76ADA-5131-4D98-A842-16E2F385DD20}"/>
  </hyperlinks>
  <pageMargins left="0.7" right="0.7" top="0.75" bottom="0.75" header="0" footer="0"/>
  <pageSetup orientation="landscape"/>
  <headerFooter>
    <oddHeader>&amp;RPage 1 of 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IMP-Must Read</vt:lpstr>
      <vt:lpstr>Student Registration Details</vt:lpstr>
      <vt:lpstr>Centre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faculty5</dc:creator>
  <cp:lastModifiedBy>abc abc</cp:lastModifiedBy>
  <cp:lastPrinted>2026-06-13T13:48:49Z</cp:lastPrinted>
  <dcterms:created xsi:type="dcterms:W3CDTF">2025-11-20T07:25:00Z</dcterms:created>
  <dcterms:modified xsi:type="dcterms:W3CDTF">2026-06-13T13:53:32Z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C1DA7EC05AE74A9F9CF55B5FE70E26EC_12</vt:lpwstr>
  </property>
  <property fmtid="{D5CDD505-2E9C-101B-9397-08002B2CF9AE}" pid="3" name="KSOProductBuildVer">
    <vt:lpwstr>1033-12.2.0.23155</vt:lpwstr>
  </property>
  <property fmtid="{D5CDD505-2E9C-101B-9397-08002B2CF9AE}" pid="4" name="_AdHocReviewCycleID">
    <vt:i4>-930894114</vt:i4>
  </property>
  <property fmtid="{D5CDD505-2E9C-101B-9397-08002B2CF9AE}" pid="5" name="_NewReviewCycle">
    <vt:lpwstr/>
  </property>
  <property fmtid="{D5CDD505-2E9C-101B-9397-08002B2CF9AE}" pid="6" name="_EmailSubject">
    <vt:lpwstr>EPROJECT REQ AI-202501B DISM</vt:lpwstr>
  </property>
  <property fmtid="{D5CDD505-2E9C-101B-9397-08002B2CF9AE}" pid="7" name="_AuthorEmail">
    <vt:lpwstr>projects-msg@aptech-education.com.pk</vt:lpwstr>
  </property>
  <property fmtid="{D5CDD505-2E9C-101B-9397-08002B2CF9AE}" pid="8" name="_AuthorEmailDisplayName">
    <vt:lpwstr>projects-msg@aptech-education.com.pk</vt:lpwstr>
  </property>
  <property fmtid="{D5CDD505-2E9C-101B-9397-08002B2CF9AE}" pid="9" name="_ReviewingToolsShownOnce">
    <vt:lpwstr/>
  </property>
</Properties>
</file>